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ireiacalvo/Library/Mobile Documents/com~apple~CloudDocs/UOC/uoc_20251/Practica1/"/>
    </mc:Choice>
  </mc:AlternateContent>
  <xr:revisionPtr revIDLastSave="0" documentId="13_ncr:1_{982C2645-FDDC-4B46-AAB1-44E6CD51F71C}" xr6:coauthVersionLast="47" xr6:coauthVersionMax="47" xr10:uidLastSave="{00000000-0000-0000-0000-000000000000}"/>
  <bookViews>
    <workbookView xWindow="0" yWindow="780" windowWidth="34200" windowHeight="19540" xr2:uid="{3AC001E2-994B-4E9D-AB2B-87D710C836AC}"/>
  </bookViews>
  <sheets>
    <sheet name="2025-11-17T0253_Notes-M2.951_-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 s="1"/>
  <c r="M2" i="1"/>
  <c r="N2" i="1" s="1"/>
  <c r="O3" i="1" l="1"/>
  <c r="O2" i="1"/>
</calcChain>
</file>

<file path=xl/sharedStrings.xml><?xml version="1.0" encoding="utf-8"?>
<sst xmlns="http://schemas.openxmlformats.org/spreadsheetml/2006/main" count="18" uniqueCount="18">
  <si>
    <t>Lozano Valverde, Albert</t>
  </si>
  <si>
    <t>Total</t>
  </si>
  <si>
    <t>Total /25</t>
  </si>
  <si>
    <t>Equivalencia</t>
  </si>
  <si>
    <t>La pràctica té un bon plantejament, un dataset coherent i un codi de scraping amb certa cura pel user_agent i la gestió de cookies, però falta la representació gràfica adequada: la representació gràfica de l’apartat hi és, però són imatges i el que es vol és un diagrama de flux o esquema que representi bé el procés. També caldria una mica més de concreció en la comparació amb altres datasets als punts 6–7 i polir algunes bones pràctiques al codi (tancament del driver, gestió de l’escriptura del CSV i comprovació real de robots.txt) per arribar a la nota màxima.</t>
  </si>
  <si>
    <t>Alumne</t>
  </si>
  <si>
    <t>Apartat 1</t>
  </si>
  <si>
    <t>Apartat 2</t>
  </si>
  <si>
    <t>Apartat 3</t>
  </si>
  <si>
    <t>Apartat 4</t>
  </si>
  <si>
    <t>Apartat 5</t>
  </si>
  <si>
    <t>Apartat 6</t>
  </si>
  <si>
    <t>Apartat 7</t>
  </si>
  <si>
    <t>Apartat 8</t>
  </si>
  <si>
    <t>Apartat 9</t>
  </si>
  <si>
    <t>Apartat 10</t>
  </si>
  <si>
    <t>Apartat 11</t>
  </si>
  <si>
    <t>Comentaris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</si>
</sst>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19" fillId="33" borderId="10" xfId="0" applyFont="1" applyFill="1" applyBorder="1"/>
    <xf numFmtId="0" fontId="20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 vertical="center"/>
    </xf>
    <xf numFmtId="164" fontId="20" fillId="33" borderId="0" xfId="0" applyNumberFormat="1" applyFont="1" applyFill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64" fontId="20" fillId="0" borderId="11" xfId="0" applyNumberFormat="1" applyFont="1" applyBorder="1" applyAlignment="1">
      <alignment horizontal="center" vertical="center"/>
    </xf>
    <xf numFmtId="0" fontId="19" fillId="33" borderId="11" xfId="0" applyFont="1" applyFill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21" fillId="33" borderId="0" xfId="0" applyFont="1" applyFill="1" applyAlignment="1">
      <alignment horizontal="center" vertical="center"/>
    </xf>
    <xf numFmtId="0" fontId="21" fillId="33" borderId="10" xfId="0" applyFont="1" applyFill="1" applyBorder="1"/>
    <xf numFmtId="0" fontId="21" fillId="0" borderId="12" xfId="0" applyFont="1" applyBorder="1" applyAlignment="1">
      <alignment horizontal="center" vertical="center"/>
    </xf>
    <xf numFmtId="0" fontId="22" fillId="0" borderId="11" xfId="0" applyFont="1" applyBorder="1"/>
    <xf numFmtId="0" fontId="21" fillId="0" borderId="10" xfId="0" applyFont="1" applyBorder="1"/>
    <xf numFmtId="0" fontId="22" fillId="0" borderId="0" xfId="0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500F-EB9B-4D1F-9CD3-4365801163C9}">
  <dimension ref="A1:P37"/>
  <sheetViews>
    <sheetView tabSelected="1" zoomScale="112" zoomScaleNormal="112" workbookViewId="0">
      <selection activeCell="J13" sqref="J13"/>
    </sheetView>
  </sheetViews>
  <sheetFormatPr baseColWidth="10" defaultColWidth="8.83203125" defaultRowHeight="13" x14ac:dyDescent="0.15"/>
  <cols>
    <col min="1" max="1" width="32.5" style="15" bestFit="1" customWidth="1"/>
    <col min="2" max="2" width="10.6640625" style="15" customWidth="1"/>
    <col min="3" max="3" width="8.83203125" style="15"/>
    <col min="4" max="4" width="10.6640625" style="15" customWidth="1"/>
    <col min="5" max="6" width="9.6640625" style="15" bestFit="1" customWidth="1"/>
    <col min="7" max="7" width="8.83203125" style="15"/>
    <col min="8" max="8" width="9.5" style="15" customWidth="1"/>
    <col min="9" max="9" width="11" style="15" customWidth="1"/>
    <col min="10" max="11" width="8.83203125" style="15"/>
    <col min="12" max="12" width="10.6640625" style="15" bestFit="1" customWidth="1"/>
    <col min="13" max="14" width="8.83203125" style="15"/>
    <col min="15" max="15" width="11" style="15" bestFit="1" customWidth="1"/>
    <col min="16" max="16" width="147.5" style="20" customWidth="1"/>
    <col min="17" max="16384" width="8.83203125" style="15"/>
  </cols>
  <sheetData>
    <row r="1" spans="1:16" ht="13.75" customHeight="1" x14ac:dyDescent="0.15">
      <c r="A1" s="1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</v>
      </c>
      <c r="N1" s="2" t="s">
        <v>2</v>
      </c>
      <c r="O1" s="3" t="s">
        <v>3</v>
      </c>
      <c r="P1" s="4" t="s">
        <v>17</v>
      </c>
    </row>
    <row r="2" spans="1:16" ht="13.75" customHeight="1" x14ac:dyDescent="0.15">
      <c r="A2" s="1"/>
      <c r="B2" s="5">
        <v>0.25</v>
      </c>
      <c r="C2" s="5">
        <v>0.25</v>
      </c>
      <c r="D2" s="5">
        <v>0.25</v>
      </c>
      <c r="E2" s="5">
        <v>0.5</v>
      </c>
      <c r="F2" s="5">
        <v>1</v>
      </c>
      <c r="G2" s="5">
        <v>1.5</v>
      </c>
      <c r="H2" s="5">
        <v>1.25</v>
      </c>
      <c r="I2" s="5">
        <v>0.5</v>
      </c>
      <c r="J2" s="5">
        <v>2</v>
      </c>
      <c r="K2" s="5">
        <v>2</v>
      </c>
      <c r="L2" s="5">
        <v>0.5</v>
      </c>
      <c r="M2" s="6">
        <f>SUM(B2:L2)</f>
        <v>10</v>
      </c>
      <c r="N2" s="7">
        <f>M2*25/10</f>
        <v>25</v>
      </c>
      <c r="O2" s="16" t="str">
        <f>IF(M2&gt;=9,"A",IF(AND(M2&lt;9,M2&gt;=7),"B",IF(AND(M2&lt;7,M2&gt;=5),"C+",IF(AND(M2&lt;5,M2&gt;=3),"C-",IF(AND(M2&lt;3,M2&gt;=0),"D","NP")))))</f>
        <v>A</v>
      </c>
      <c r="P2" s="17"/>
    </row>
    <row r="3" spans="1:16" ht="13.75" customHeight="1" x14ac:dyDescent="0.15">
      <c r="A3" s="19" t="s">
        <v>0</v>
      </c>
      <c r="B3" s="10">
        <v>0.25</v>
      </c>
      <c r="C3" s="10">
        <v>0.25</v>
      </c>
      <c r="D3" s="10">
        <v>0.25</v>
      </c>
      <c r="E3" s="10">
        <v>0.2</v>
      </c>
      <c r="F3" s="10">
        <v>1</v>
      </c>
      <c r="G3" s="10">
        <v>1.25</v>
      </c>
      <c r="H3" s="10">
        <v>1</v>
      </c>
      <c r="I3" s="10">
        <v>0.5</v>
      </c>
      <c r="J3" s="10">
        <v>1.75</v>
      </c>
      <c r="K3" s="10">
        <v>2</v>
      </c>
      <c r="L3" s="10">
        <v>0.5</v>
      </c>
      <c r="M3" s="8">
        <f t="shared" ref="M3" si="0">SUM(B3:L3)</f>
        <v>8.9499999999999993</v>
      </c>
      <c r="N3" s="9">
        <f t="shared" ref="N3" si="1">M3*25/10</f>
        <v>22.374999999999996</v>
      </c>
      <c r="O3" s="18" t="str">
        <f t="shared" ref="O3" si="2">IF(M3&gt;=9,"A",IF(AND(M3&lt;9,M3&gt;=7),"B",IF(AND(M3&lt;7,M3&gt;=5),"C+",IF(AND(M3&lt;5,M3&gt;=3),"C-",IF(AND(M3&lt;3,M3&gt;=0),"D","NP")))))</f>
        <v>B</v>
      </c>
      <c r="P3" s="17" t="s">
        <v>4</v>
      </c>
    </row>
    <row r="4" spans="1:16" ht="13.75" customHeight="1" x14ac:dyDescent="0.15">
      <c r="A4" s="2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  <c r="N4" s="14"/>
      <c r="O4" s="22"/>
      <c r="P4" s="11"/>
    </row>
    <row r="5" spans="1:16" ht="13.75" customHeight="1" x14ac:dyDescent="0.15">
      <c r="A5" s="2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14"/>
      <c r="O5" s="22"/>
      <c r="P5" s="11"/>
    </row>
    <row r="6" spans="1:16" ht="13.75" customHeight="1" x14ac:dyDescent="0.15">
      <c r="A6" s="2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/>
      <c r="O6" s="22"/>
      <c r="P6" s="11"/>
    </row>
    <row r="7" spans="1:16" ht="13.75" customHeight="1" x14ac:dyDescent="0.15">
      <c r="A7" s="2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  <c r="N7" s="14"/>
      <c r="O7" s="22"/>
      <c r="P7" s="11"/>
    </row>
    <row r="8" spans="1:16" ht="13.75" customHeight="1" x14ac:dyDescent="0.15">
      <c r="A8" s="2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3"/>
      <c r="N8" s="14"/>
      <c r="O8" s="22"/>
      <c r="P8" s="15"/>
    </row>
    <row r="9" spans="1:16" ht="13.75" customHeight="1" x14ac:dyDescent="0.15">
      <c r="A9" s="2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3"/>
      <c r="N9" s="14"/>
      <c r="O9" s="22"/>
      <c r="P9" s="15"/>
    </row>
    <row r="10" spans="1:16" ht="13.75" customHeight="1" x14ac:dyDescent="0.15">
      <c r="A10" s="2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3"/>
      <c r="N10" s="14"/>
      <c r="O10" s="22"/>
      <c r="P10" s="15"/>
    </row>
    <row r="11" spans="1:16" ht="13.75" customHeight="1" x14ac:dyDescent="0.15">
      <c r="A11" s="2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3"/>
      <c r="N11" s="14"/>
      <c r="O11" s="22"/>
      <c r="P11" s="15"/>
    </row>
    <row r="12" spans="1:16" ht="13.75" customHeight="1" x14ac:dyDescent="0.15">
      <c r="A12" s="2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4"/>
      <c r="O12" s="22"/>
      <c r="P12" s="11"/>
    </row>
    <row r="13" spans="1:16" ht="12.75" customHeight="1" x14ac:dyDescent="0.1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3"/>
      <c r="N13" s="14"/>
      <c r="O13" s="22"/>
      <c r="P13" s="15"/>
    </row>
    <row r="14" spans="1:16" ht="12.75" customHeight="1" x14ac:dyDescent="0.1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14"/>
      <c r="O14" s="22"/>
      <c r="P14" s="15"/>
    </row>
    <row r="15" spans="1:16" ht="12.75" customHeight="1" x14ac:dyDescent="0.1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14"/>
      <c r="O15" s="22"/>
      <c r="P15" s="11"/>
    </row>
    <row r="16" spans="1:16" ht="12.75" customHeight="1" x14ac:dyDescent="0.1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4"/>
      <c r="O16" s="22"/>
      <c r="P16" s="15"/>
    </row>
    <row r="17" spans="2:16" ht="12.75" customHeight="1" x14ac:dyDescent="0.15">
      <c r="B17" s="12"/>
      <c r="C17" s="12"/>
      <c r="D17" s="12"/>
      <c r="E17" s="12"/>
      <c r="F17" s="12"/>
      <c r="G17" s="12"/>
      <c r="H17" s="23"/>
      <c r="I17" s="12"/>
      <c r="J17" s="12"/>
      <c r="K17" s="12"/>
      <c r="L17" s="12"/>
      <c r="M17" s="13"/>
      <c r="N17" s="14"/>
      <c r="O17" s="22"/>
      <c r="P17" s="15"/>
    </row>
    <row r="18" spans="2:16" x14ac:dyDescent="0.15">
      <c r="P18" s="15"/>
    </row>
    <row r="19" spans="2:16" x14ac:dyDescent="0.15">
      <c r="P19" s="15"/>
    </row>
    <row r="20" spans="2:16" x14ac:dyDescent="0.15">
      <c r="P20" s="15"/>
    </row>
    <row r="21" spans="2:16" x14ac:dyDescent="0.15">
      <c r="P21" s="15"/>
    </row>
    <row r="22" spans="2:16" x14ac:dyDescent="0.15">
      <c r="P22" s="15"/>
    </row>
    <row r="23" spans="2:16" x14ac:dyDescent="0.15">
      <c r="P23" s="15"/>
    </row>
    <row r="24" spans="2:16" x14ac:dyDescent="0.15">
      <c r="P24" s="15"/>
    </row>
    <row r="25" spans="2:16" x14ac:dyDescent="0.15">
      <c r="P25" s="15"/>
    </row>
    <row r="26" spans="2:16" x14ac:dyDescent="0.15">
      <c r="P26" s="15"/>
    </row>
    <row r="27" spans="2:16" x14ac:dyDescent="0.15">
      <c r="P27" s="15"/>
    </row>
    <row r="28" spans="2:16" x14ac:dyDescent="0.15">
      <c r="P28" s="15"/>
    </row>
    <row r="29" spans="2:16" x14ac:dyDescent="0.15">
      <c r="P29" s="15"/>
    </row>
    <row r="30" spans="2:16" x14ac:dyDescent="0.15">
      <c r="P30" s="15"/>
    </row>
    <row r="31" spans="2:16" x14ac:dyDescent="0.15">
      <c r="P31" s="15"/>
    </row>
    <row r="32" spans="2:16" x14ac:dyDescent="0.15">
      <c r="P32" s="15"/>
    </row>
    <row r="33" spans="16:16" x14ac:dyDescent="0.15">
      <c r="P33" s="15"/>
    </row>
    <row r="34" spans="16:16" x14ac:dyDescent="0.15">
      <c r="P34" s="15"/>
    </row>
    <row r="35" spans="16:16" x14ac:dyDescent="0.15">
      <c r="P35" s="15"/>
    </row>
    <row r="36" spans="16:16" x14ac:dyDescent="0.15">
      <c r="P36" s="15"/>
    </row>
    <row r="37" spans="16:16" x14ac:dyDescent="0.15">
      <c r="P3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2025-11-17T0253_Notes-M2.951_-_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Rodriguez Ferreira</dc:creator>
  <cp:lastModifiedBy>Mireia Calvo</cp:lastModifiedBy>
  <dcterms:created xsi:type="dcterms:W3CDTF">2025-11-22T17:16:43Z</dcterms:created>
  <dcterms:modified xsi:type="dcterms:W3CDTF">2025-11-26T23:18:49Z</dcterms:modified>
</cp:coreProperties>
</file>